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Desktop/照片/"/>
    </mc:Choice>
  </mc:AlternateContent>
  <xr:revisionPtr revIDLastSave="0" documentId="13_ncr:1_{EE546B97-B0B7-ED47-96F4-2404D09BCD52}" xr6:coauthVersionLast="47" xr6:coauthVersionMax="47" xr10:uidLastSave="{00000000-0000-0000-0000-000000000000}"/>
  <bookViews>
    <workbookView xWindow="2620" yWindow="620" windowWidth="26760" windowHeight="20980" activeTab="3" xr2:uid="{1E512B3F-7A5B-DF48-B601-5C41CA044F2B}"/>
  </bookViews>
  <sheets>
    <sheet name="Stock" sheetId="1" r:id="rId1"/>
    <sheet name="机器" sheetId="5" r:id="rId2"/>
    <sheet name="Finished" sheetId="3" r:id="rId3"/>
    <sheet name="Detail" sheetId="4" r:id="rId4"/>
  </sheets>
  <definedNames>
    <definedName name="_xlnm._FilterDatabase" localSheetId="0" hidden="1">Stock!$A$1:$E$1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7" i="1"/>
</calcChain>
</file>

<file path=xl/sharedStrings.xml><?xml version="1.0" encoding="utf-8"?>
<sst xmlns="http://schemas.openxmlformats.org/spreadsheetml/2006/main" count="263" uniqueCount="204">
  <si>
    <t>品牌</t>
  </si>
  <si>
    <t>iso</t>
  </si>
  <si>
    <t>数量</t>
  </si>
  <si>
    <t>价格</t>
  </si>
  <si>
    <t>分类</t>
  </si>
  <si>
    <t>福马分装</t>
  </si>
  <si>
    <t>外星人 NC400</t>
  </si>
  <si>
    <t>外星人 AERONEGA</t>
  </si>
  <si>
    <t>乐凯分装</t>
  </si>
  <si>
    <t>Kodak color plus</t>
  </si>
  <si>
    <t>用法</t>
  </si>
  <si>
    <t>BW</t>
  </si>
  <si>
    <t>Color</t>
  </si>
  <si>
    <t>Cinestill 800T</t>
  </si>
  <si>
    <t>Fuji 200</t>
  </si>
  <si>
    <t>发灰, 建筑</t>
  </si>
  <si>
    <t>发红发黄, 可以正冲</t>
  </si>
  <si>
    <t>250 拍, 可以正冲</t>
  </si>
  <si>
    <t>晚上拍</t>
  </si>
  <si>
    <t>lomo 400</t>
  </si>
  <si>
    <t>Ilford SFX</t>
  </si>
  <si>
    <t>lomo chrome color 92 sun kissed</t>
  </si>
  <si>
    <t>Lomo berlin</t>
  </si>
  <si>
    <t>Kentmere pan</t>
  </si>
  <si>
    <t>lomo chrome color 92</t>
  </si>
  <si>
    <t>lomo earl grey</t>
  </si>
  <si>
    <t>Ilford Phoenix Blue</t>
  </si>
  <si>
    <t>Kodak 400TX</t>
  </si>
  <si>
    <t>黑白</t>
  </si>
  <si>
    <t>彩色</t>
  </si>
  <si>
    <t>Ilford</t>
  </si>
  <si>
    <t>HP5 400</t>
  </si>
  <si>
    <t>Cinestill</t>
  </si>
  <si>
    <t>Kodak</t>
  </si>
  <si>
    <t>Reflexlab</t>
  </si>
  <si>
    <t>200T</t>
  </si>
  <si>
    <t>福马</t>
  </si>
  <si>
    <t>Fujifilm</t>
  </si>
  <si>
    <t>X-tra</t>
  </si>
  <si>
    <t>SHD</t>
  </si>
  <si>
    <t>lomo</t>
  </si>
  <si>
    <t>Lomochrome 400</t>
  </si>
  <si>
    <t>color92 sunkissed 400</t>
  </si>
  <si>
    <t>earlgrey 100</t>
  </si>
  <si>
    <t>Color Plus 200</t>
  </si>
  <si>
    <t>ladygrey 400</t>
  </si>
  <si>
    <t>E100</t>
  </si>
  <si>
    <t>400 Tri-X</t>
  </si>
  <si>
    <t>Delta 100</t>
  </si>
  <si>
    <t>50D</t>
  </si>
  <si>
    <t>XP2 400</t>
  </si>
  <si>
    <t>DELTA 400</t>
  </si>
  <si>
    <t>pro 100</t>
  </si>
  <si>
    <t>Ortho 80</t>
  </si>
  <si>
    <t>400 daylight</t>
  </si>
  <si>
    <t>FP4 125</t>
  </si>
  <si>
    <t>100 daylight</t>
  </si>
  <si>
    <t>SFX 200</t>
  </si>
  <si>
    <t>PanF plus 50</t>
  </si>
  <si>
    <t>Kentemere</t>
  </si>
  <si>
    <t>Pan 400</t>
  </si>
  <si>
    <t>Pan 100</t>
  </si>
  <si>
    <t>日期</t>
  </si>
  <si>
    <t>NO</t>
  </si>
  <si>
    <t>机器</t>
  </si>
  <si>
    <t>胶片</t>
  </si>
  <si>
    <t>拍摄位置</t>
  </si>
  <si>
    <t>Note</t>
  </si>
  <si>
    <t>Olympus Accura zoom 70</t>
  </si>
  <si>
    <t>fuji200</t>
  </si>
  <si>
    <t>NYC</t>
  </si>
  <si>
    <t>Minolta maxxium 7000</t>
  </si>
  <si>
    <t>Konica c35 and Minolta SRT202</t>
  </si>
  <si>
    <t>Kodak 200</t>
  </si>
  <si>
    <t>Phil, NYC</t>
  </si>
  <si>
    <t>Minolta srt202</t>
  </si>
  <si>
    <t>fuji 200</t>
  </si>
  <si>
    <t>phili and nyc</t>
  </si>
  <si>
    <t>2023.03.20</t>
  </si>
  <si>
    <t>minolta srt202</t>
  </si>
  <si>
    <t>2023.03.25</t>
  </si>
  <si>
    <t>Minolta GX1</t>
  </si>
  <si>
    <t>nyc</t>
  </si>
  <si>
    <t>2023.04.15</t>
  </si>
  <si>
    <t>Minolta 7000</t>
  </si>
  <si>
    <t>2023.05.04</t>
  </si>
  <si>
    <t>FUJIFILM DL 400Tele</t>
  </si>
  <si>
    <t>Fuji200</t>
  </si>
  <si>
    <t>2023.05.07</t>
  </si>
  <si>
    <t>cinestill 50D</t>
  </si>
  <si>
    <t>2023.05.28</t>
  </si>
  <si>
    <t>Minolta XG1</t>
  </si>
  <si>
    <t>2023.06.01</t>
  </si>
  <si>
    <t>Minolta Maxi 300si</t>
  </si>
  <si>
    <t>2023.06.07</t>
  </si>
  <si>
    <t>Cannon XT</t>
  </si>
  <si>
    <t>2023.06.19</t>
  </si>
  <si>
    <t>ilford delta 400</t>
  </si>
  <si>
    <t>2023.06.23</t>
  </si>
  <si>
    <t>Canon EOS Rebel</t>
  </si>
  <si>
    <t>ILford FP4 125</t>
  </si>
  <si>
    <t>2023.07.04</t>
  </si>
  <si>
    <t>2023.08.06</t>
  </si>
  <si>
    <t>Minolta X700</t>
  </si>
  <si>
    <t>2023.08.08</t>
  </si>
  <si>
    <t>Mionolta SRT 202</t>
  </si>
  <si>
    <t>Cinestill 800</t>
  </si>
  <si>
    <t>2023.08.16</t>
  </si>
  <si>
    <t>Minolta SRT 202</t>
  </si>
  <si>
    <t>Cinestill 50D</t>
  </si>
  <si>
    <t>LA</t>
  </si>
  <si>
    <t>Cinestill 400D</t>
  </si>
  <si>
    <t>2023.08.28</t>
  </si>
  <si>
    <t>Kodak E100</t>
  </si>
  <si>
    <t>2023.09.30</t>
  </si>
  <si>
    <t>Minolta x700</t>
  </si>
  <si>
    <t>VAN</t>
  </si>
  <si>
    <t>2023.10.05</t>
  </si>
  <si>
    <t>Minolta srt 202</t>
  </si>
  <si>
    <t>Ilford super xp2</t>
  </si>
  <si>
    <t>Van</t>
  </si>
  <si>
    <t>2024-01.25</t>
  </si>
  <si>
    <t>Minolta SRT202</t>
  </si>
  <si>
    <t>Fuji 400</t>
  </si>
  <si>
    <t>Vancouver</t>
  </si>
  <si>
    <t>2024-10.17</t>
  </si>
  <si>
    <t>SRT202</t>
  </si>
  <si>
    <t>Pentax</t>
  </si>
  <si>
    <t>昆明丽江泸沽湖</t>
  </si>
  <si>
    <t>X700</t>
  </si>
  <si>
    <t>A-Pan 400</t>
  </si>
  <si>
    <t>泸沽湖</t>
  </si>
  <si>
    <t>fuji 400</t>
  </si>
  <si>
    <t>泸沽湖丽江古镇</t>
  </si>
  <si>
    <t>pentax</t>
  </si>
  <si>
    <t>泸沽湖丽江古城</t>
  </si>
  <si>
    <t>ILFORD Delta pan 100</t>
  </si>
  <si>
    <t>丽江大理</t>
  </si>
  <si>
    <t>ILFORD PANF+ 50</t>
  </si>
  <si>
    <t>大理古城</t>
  </si>
  <si>
    <t>xtra 400</t>
  </si>
  <si>
    <t>大理古城洱海</t>
  </si>
  <si>
    <t>全自动</t>
  </si>
  <si>
    <t>Ilford Ortho plus 80</t>
  </si>
  <si>
    <t>机场回温哥华</t>
  </si>
  <si>
    <t>9147 叠片</t>
  </si>
  <si>
    <t>srt202+canonQL19</t>
  </si>
  <si>
    <t>whitehorse</t>
  </si>
  <si>
    <t>olympus pen ee2</t>
  </si>
  <si>
    <t>Fuji xtra 400</t>
  </si>
  <si>
    <t>whithorse + vancouver</t>
  </si>
  <si>
    <t>9141 最后两张齿孔坏了</t>
  </si>
  <si>
    <t>Pen EE2</t>
  </si>
  <si>
    <t>whitehorse + vancouver</t>
  </si>
  <si>
    <t>Canon QL19</t>
  </si>
  <si>
    <t>Kentemere 400</t>
  </si>
  <si>
    <t>vancouver</t>
  </si>
  <si>
    <t>2025-04-31</t>
  </si>
  <si>
    <t>sprocket rocket</t>
  </si>
  <si>
    <t>kentmere 400</t>
  </si>
  <si>
    <t>SprocketRocket</t>
  </si>
  <si>
    <t>bw lomo lady gray</t>
  </si>
  <si>
    <t>秦皇岛</t>
  </si>
  <si>
    <t>禄莱35</t>
  </si>
  <si>
    <t>bw lomo lady gray400</t>
  </si>
  <si>
    <t>ColorPlus200</t>
  </si>
  <si>
    <t>新疆秦皇岛</t>
  </si>
  <si>
    <t>OlympusPanEE2</t>
  </si>
  <si>
    <t>flexlab Daylight 100</t>
  </si>
  <si>
    <t>乐凯400</t>
  </si>
  <si>
    <t>秦皇岛太原</t>
  </si>
  <si>
    <t>x700</t>
  </si>
  <si>
    <t>秦皇岛太原平遥</t>
  </si>
  <si>
    <t>OlympusPenEE2</t>
  </si>
  <si>
    <t>reflexlab 100</t>
  </si>
  <si>
    <t>山西</t>
  </si>
  <si>
    <t>婚礼</t>
  </si>
  <si>
    <t>Daylight 400</t>
  </si>
  <si>
    <t>小西天广胜寺</t>
  </si>
  <si>
    <t>福马400</t>
  </si>
  <si>
    <t>太原洪洞县临汾</t>
  </si>
  <si>
    <t>sunkissed</t>
  </si>
  <si>
    <t>临汾-乌鲁木齐</t>
  </si>
  <si>
    <t>Cinestill800</t>
  </si>
  <si>
    <t>Vancouver-Grouse</t>
  </si>
  <si>
    <t>Nikon Lighttouch</t>
  </si>
  <si>
    <t>Kodak200</t>
  </si>
  <si>
    <t>portmoody-centralpark</t>
  </si>
  <si>
    <t>Rollei35</t>
  </si>
  <si>
    <t>HP5 黑白</t>
  </si>
  <si>
    <t>banff-canmore-vancouver</t>
  </si>
  <si>
    <t>Penee2</t>
  </si>
  <si>
    <t>reflexlab200</t>
  </si>
  <si>
    <t>山西-乌鲁木齐-Banff</t>
  </si>
  <si>
    <t>Lomo400</t>
  </si>
  <si>
    <t>Banff-LakeLouise</t>
  </si>
  <si>
    <t>禄莱</t>
  </si>
  <si>
    <t>Contax</t>
  </si>
  <si>
    <t>T</t>
  </si>
  <si>
    <t>Nikon</t>
  </si>
  <si>
    <t>Light Touch 120 ED</t>
  </si>
  <si>
    <t xml:space="preserve">Olympics </t>
  </si>
  <si>
    <t>EE2</t>
  </si>
  <si>
    <t>Minolta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</si>
</sst>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D427F-4CAD-4545-B5CF-C2A5B1D8BEA5}" name="Table1" displayName="Table1" ref="A1:F21" totalsRowShown="0" headerRowDxfId="7" dataDxfId="6">
  <autoFilter ref="A1:F21" xr:uid="{356D427F-4CAD-4545-B5CF-C2A5B1D8BEA5}"/>
  <sortState xmlns:xlrd2="http://schemas.microsoft.com/office/spreadsheetml/2017/richdata2" ref="A2:F21">
    <sortCondition ref="A1:A21"/>
  </sortState>
  <tableColumns count="6">
    <tableColumn id="1" xr3:uid="{0E867B71-3B62-7E4C-934F-672C1D32F61E}" name="分类" dataDxfId="5"/>
    <tableColumn id="2" xr3:uid="{9F86F45D-2190-834C-B32E-0BA91A01AABF}" name="品牌" dataDxfId="4"/>
    <tableColumn id="3" xr3:uid="{C54C659F-3442-0748-947E-4FD17CA06818}" name="iso" dataDxfId="3"/>
    <tableColumn id="4" xr3:uid="{07F59048-2E31-144D-A0F6-7FF763BA08CF}" name="数量" dataDxfId="2"/>
    <tableColumn id="5" xr3:uid="{55242010-8118-9D4A-9367-DDDE9A13A719}" name="价格" dataDxfId="1"/>
    <tableColumn id="6" xr3:uid="{9D749B5A-D8FD-1A47-8A94-35B162A29ACF}" name="用法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40D-D0D0-4F47-B6BA-F27645D5E65E}">
  <dimension ref="A1:F21"/>
  <sheetViews>
    <sheetView zoomScale="174" workbookViewId="0">
      <selection activeCell="B27" sqref="B27"/>
    </sheetView>
  </sheetViews>
  <sheetFormatPr baseColWidth="10" defaultRowHeight="15" x14ac:dyDescent="0.2"/>
  <cols>
    <col min="1" max="1" width="8.5" style="2" bestFit="1" customWidth="1"/>
    <col min="2" max="2" width="15.5" style="2" bestFit="1" customWidth="1"/>
    <col min="3" max="3" width="6.83203125" style="2" customWidth="1"/>
    <col min="4" max="4" width="11" style="2" customWidth="1"/>
    <col min="5" max="5" width="8.6640625" style="2" customWidth="1"/>
    <col min="6" max="6" width="18.1640625" style="2" bestFit="1" customWidth="1"/>
    <col min="7" max="16384" width="10.83203125" style="2"/>
  </cols>
  <sheetData>
    <row r="1" spans="1:6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 x14ac:dyDescent="0.2">
      <c r="A2" s="3" t="s">
        <v>11</v>
      </c>
      <c r="B2" s="3" t="s">
        <v>25</v>
      </c>
      <c r="C2" s="3">
        <v>100</v>
      </c>
      <c r="D2" s="3">
        <v>2</v>
      </c>
      <c r="E2" s="3"/>
      <c r="F2" s="4"/>
    </row>
    <row r="3" spans="1:6" x14ac:dyDescent="0.2">
      <c r="A3" s="3"/>
      <c r="B3" s="3" t="s">
        <v>5</v>
      </c>
      <c r="C3" s="3">
        <v>100</v>
      </c>
      <c r="D3" s="3">
        <v>1</v>
      </c>
      <c r="E3" s="3">
        <v>24.9</v>
      </c>
      <c r="F3" s="4"/>
    </row>
    <row r="4" spans="1:6" x14ac:dyDescent="0.2">
      <c r="A4" s="3"/>
      <c r="B4" s="3" t="s">
        <v>8</v>
      </c>
      <c r="C4" s="3">
        <v>100</v>
      </c>
      <c r="D4" s="3">
        <v>2</v>
      </c>
      <c r="E4" s="3">
        <v>25.99</v>
      </c>
      <c r="F4" s="4"/>
    </row>
    <row r="5" spans="1:6" x14ac:dyDescent="0.2">
      <c r="A5" s="3"/>
      <c r="B5" s="3" t="s">
        <v>5</v>
      </c>
      <c r="C5" s="3">
        <v>200</v>
      </c>
      <c r="D5" s="3">
        <v>3</v>
      </c>
      <c r="E5" s="5">
        <f>(26*3 + 28.9)/4</f>
        <v>26.725000000000001</v>
      </c>
      <c r="F5" s="4"/>
    </row>
    <row r="6" spans="1:6" x14ac:dyDescent="0.2">
      <c r="A6" s="3"/>
      <c r="B6" s="3" t="s">
        <v>20</v>
      </c>
      <c r="C6" s="3">
        <v>200</v>
      </c>
      <c r="D6" s="3">
        <v>1</v>
      </c>
      <c r="E6" s="3"/>
      <c r="F6" s="4"/>
    </row>
    <row r="7" spans="1:6" x14ac:dyDescent="0.2">
      <c r="A7" s="3"/>
      <c r="B7" s="3" t="s">
        <v>5</v>
      </c>
      <c r="C7" s="3">
        <v>400</v>
      </c>
      <c r="D7" s="3">
        <v>6</v>
      </c>
      <c r="E7" s="5">
        <f>(23.5*3+25.5*4)/7</f>
        <v>24.642857142857142</v>
      </c>
      <c r="F7" s="4" t="s">
        <v>17</v>
      </c>
    </row>
    <row r="8" spans="1:6" x14ac:dyDescent="0.2">
      <c r="A8" s="3"/>
      <c r="B8" s="3" t="s">
        <v>8</v>
      </c>
      <c r="C8" s="3">
        <v>400</v>
      </c>
      <c r="D8" s="3">
        <v>2</v>
      </c>
      <c r="E8" s="3">
        <v>19.989999999999998</v>
      </c>
      <c r="F8" s="4" t="s">
        <v>17</v>
      </c>
    </row>
    <row r="9" spans="1:6" x14ac:dyDescent="0.2">
      <c r="A9" s="3"/>
      <c r="B9" s="3" t="s">
        <v>22</v>
      </c>
      <c r="C9" s="3">
        <v>400</v>
      </c>
      <c r="D9" s="3">
        <v>1</v>
      </c>
      <c r="E9" s="3"/>
      <c r="F9" s="4"/>
    </row>
    <row r="10" spans="1:6" x14ac:dyDescent="0.2">
      <c r="A10" s="3"/>
      <c r="B10" s="3" t="s">
        <v>27</v>
      </c>
      <c r="C10" s="3">
        <v>400</v>
      </c>
      <c r="D10" s="3">
        <v>1</v>
      </c>
      <c r="E10" s="3"/>
      <c r="F10" s="4"/>
    </row>
    <row r="11" spans="1:6" x14ac:dyDescent="0.2">
      <c r="A11" s="3"/>
      <c r="B11" s="3" t="s">
        <v>23</v>
      </c>
      <c r="C11" s="3">
        <v>400</v>
      </c>
      <c r="D11" s="3">
        <v>2</v>
      </c>
      <c r="E11" s="3"/>
      <c r="F11" s="4"/>
    </row>
    <row r="12" spans="1:6" x14ac:dyDescent="0.2">
      <c r="A12" s="3"/>
      <c r="B12" s="3"/>
      <c r="C12" s="3"/>
      <c r="D12" s="3"/>
      <c r="E12" s="3"/>
      <c r="F12" s="4"/>
    </row>
    <row r="13" spans="1:6" x14ac:dyDescent="0.2">
      <c r="A13" s="3" t="s">
        <v>12</v>
      </c>
      <c r="B13" s="3" t="s">
        <v>7</v>
      </c>
      <c r="C13" s="3">
        <v>100</v>
      </c>
      <c r="D13" s="3">
        <v>2</v>
      </c>
      <c r="E13" s="3">
        <v>59.8</v>
      </c>
      <c r="F13" s="4" t="s">
        <v>16</v>
      </c>
    </row>
    <row r="14" spans="1:6" x14ac:dyDescent="0.2">
      <c r="A14" s="3"/>
      <c r="B14" s="3" t="s">
        <v>9</v>
      </c>
      <c r="C14" s="3">
        <v>200</v>
      </c>
      <c r="D14" s="3">
        <v>5</v>
      </c>
      <c r="E14" s="3">
        <v>57.95</v>
      </c>
      <c r="F14" s="4"/>
    </row>
    <row r="15" spans="1:6" x14ac:dyDescent="0.2">
      <c r="A15" s="3"/>
      <c r="B15" s="3" t="s">
        <v>14</v>
      </c>
      <c r="C15" s="3">
        <v>200</v>
      </c>
      <c r="D15" s="3">
        <v>2</v>
      </c>
      <c r="E15" s="3"/>
      <c r="F15" s="4"/>
    </row>
    <row r="16" spans="1:6" x14ac:dyDescent="0.2">
      <c r="A16" s="3"/>
      <c r="B16" s="3" t="s">
        <v>6</v>
      </c>
      <c r="C16" s="3">
        <v>400</v>
      </c>
      <c r="D16" s="3">
        <v>1</v>
      </c>
      <c r="E16" s="3">
        <v>59.8</v>
      </c>
      <c r="F16" s="4" t="s">
        <v>15</v>
      </c>
    </row>
    <row r="17" spans="1:6" x14ac:dyDescent="0.2">
      <c r="A17" s="3"/>
      <c r="B17" s="4" t="s">
        <v>19</v>
      </c>
      <c r="C17" s="4">
        <v>400</v>
      </c>
      <c r="D17" s="4">
        <v>2</v>
      </c>
      <c r="E17" s="4"/>
      <c r="F17" s="4"/>
    </row>
    <row r="18" spans="1:6" ht="32" x14ac:dyDescent="0.2">
      <c r="A18" s="3"/>
      <c r="B18" s="6" t="s">
        <v>21</v>
      </c>
      <c r="C18" s="4">
        <v>400</v>
      </c>
      <c r="D18" s="4">
        <v>1</v>
      </c>
      <c r="E18" s="4"/>
      <c r="F18" s="4"/>
    </row>
    <row r="19" spans="1:6" x14ac:dyDescent="0.2">
      <c r="A19" s="3"/>
      <c r="B19" s="3" t="s">
        <v>26</v>
      </c>
      <c r="C19" s="3">
        <v>200</v>
      </c>
      <c r="D19" s="3">
        <v>1</v>
      </c>
      <c r="E19" s="3"/>
      <c r="F19" s="4"/>
    </row>
    <row r="20" spans="1:6" ht="32" x14ac:dyDescent="0.2">
      <c r="A20" s="3"/>
      <c r="B20" s="6" t="s">
        <v>24</v>
      </c>
      <c r="C20" s="4">
        <v>400</v>
      </c>
      <c r="D20" s="4">
        <v>1</v>
      </c>
      <c r="E20" s="3"/>
      <c r="F20" s="4"/>
    </row>
    <row r="21" spans="1:6" x14ac:dyDescent="0.2">
      <c r="A21" s="3"/>
      <c r="B21" s="3" t="s">
        <v>13</v>
      </c>
      <c r="C21" s="3">
        <v>800</v>
      </c>
      <c r="D21" s="3">
        <v>1</v>
      </c>
      <c r="E21" s="3"/>
      <c r="F21" s="4" t="s">
        <v>18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84CA-A6C2-BA42-8F91-FA218E2413CA}">
  <dimension ref="A1:B6"/>
  <sheetViews>
    <sheetView workbookViewId="0">
      <selection activeCell="H9" sqref="H9"/>
    </sheetView>
  </sheetViews>
  <sheetFormatPr baseColWidth="10" defaultRowHeight="16" x14ac:dyDescent="0.2"/>
  <sheetData>
    <row r="1" spans="1:2" x14ac:dyDescent="0.2">
      <c r="A1" s="11" t="s">
        <v>203</v>
      </c>
      <c r="B1" s="11" t="s">
        <v>126</v>
      </c>
    </row>
    <row r="2" spans="1:2" x14ac:dyDescent="0.2">
      <c r="A2" s="11" t="s">
        <v>203</v>
      </c>
      <c r="B2" s="11" t="s">
        <v>129</v>
      </c>
    </row>
    <row r="3" spans="1:2" x14ac:dyDescent="0.2">
      <c r="A3" s="11" t="s">
        <v>196</v>
      </c>
      <c r="B3" s="11">
        <v>35</v>
      </c>
    </row>
    <row r="4" spans="1:2" x14ac:dyDescent="0.2">
      <c r="A4" s="11" t="s">
        <v>197</v>
      </c>
      <c r="B4" s="11" t="s">
        <v>198</v>
      </c>
    </row>
    <row r="5" spans="1:2" x14ac:dyDescent="0.2">
      <c r="A5" s="11" t="s">
        <v>199</v>
      </c>
      <c r="B5" s="11" t="s">
        <v>200</v>
      </c>
    </row>
    <row r="6" spans="1:2" x14ac:dyDescent="0.2">
      <c r="A6" s="11" t="s">
        <v>201</v>
      </c>
      <c r="B6" s="11" t="s">
        <v>202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5FDC-C8D8-5F40-B504-21B483F5094D}">
  <dimension ref="A1:F19"/>
  <sheetViews>
    <sheetView workbookViewId="0">
      <selection activeCell="F19" sqref="A1:F19"/>
    </sheetView>
  </sheetViews>
  <sheetFormatPr baseColWidth="10" defaultRowHeight="16" x14ac:dyDescent="0.2"/>
  <sheetData>
    <row r="1" spans="1:6" x14ac:dyDescent="0.2">
      <c r="A1" s="7" t="s">
        <v>28</v>
      </c>
      <c r="B1" s="8"/>
      <c r="C1" s="8"/>
      <c r="D1" s="7" t="s">
        <v>29</v>
      </c>
      <c r="E1" s="8"/>
      <c r="F1" s="8"/>
    </row>
    <row r="2" spans="1:6" x14ac:dyDescent="0.2">
      <c r="A2" s="8" t="s">
        <v>36</v>
      </c>
      <c r="B2" s="8">
        <v>400</v>
      </c>
      <c r="C2" s="7">
        <v>1</v>
      </c>
      <c r="D2" s="8" t="s">
        <v>37</v>
      </c>
      <c r="E2" s="8">
        <v>200</v>
      </c>
      <c r="F2" s="8">
        <v>15</v>
      </c>
    </row>
    <row r="3" spans="1:6" x14ac:dyDescent="0.2">
      <c r="A3" s="8"/>
      <c r="B3" s="8">
        <v>200</v>
      </c>
      <c r="C3" s="8"/>
      <c r="D3" s="8"/>
      <c r="E3" s="8">
        <v>400</v>
      </c>
      <c r="F3" s="8">
        <v>4</v>
      </c>
    </row>
    <row r="4" spans="1:6" x14ac:dyDescent="0.2">
      <c r="A4" s="8"/>
      <c r="B4" s="8">
        <v>100</v>
      </c>
      <c r="C4" s="8"/>
      <c r="D4" s="8"/>
      <c r="E4" s="8" t="s">
        <v>38</v>
      </c>
      <c r="F4" s="8">
        <v>2</v>
      </c>
    </row>
    <row r="5" spans="1:6" x14ac:dyDescent="0.2">
      <c r="A5" s="8" t="s">
        <v>39</v>
      </c>
      <c r="B5" s="8">
        <v>400</v>
      </c>
      <c r="C5" s="7">
        <v>1</v>
      </c>
      <c r="D5" s="8" t="s">
        <v>40</v>
      </c>
      <c r="E5" s="8" t="s">
        <v>41</v>
      </c>
      <c r="F5" s="8">
        <v>1</v>
      </c>
    </row>
    <row r="6" spans="1:6" x14ac:dyDescent="0.2">
      <c r="A6" s="8"/>
      <c r="B6" s="8">
        <v>100</v>
      </c>
      <c r="C6" s="8"/>
      <c r="D6" s="8"/>
      <c r="E6" s="8" t="s">
        <v>42</v>
      </c>
      <c r="F6" s="8">
        <v>1</v>
      </c>
    </row>
    <row r="7" spans="1:6" x14ac:dyDescent="0.2">
      <c r="A7" s="8" t="s">
        <v>40</v>
      </c>
      <c r="B7" s="8" t="s">
        <v>43</v>
      </c>
      <c r="C7" s="8"/>
      <c r="D7" s="7" t="s">
        <v>33</v>
      </c>
      <c r="E7" s="7" t="s">
        <v>44</v>
      </c>
      <c r="F7" s="8">
        <v>5</v>
      </c>
    </row>
    <row r="8" spans="1:6" x14ac:dyDescent="0.2">
      <c r="A8" s="8"/>
      <c r="B8" s="8" t="s">
        <v>45</v>
      </c>
      <c r="C8" s="7">
        <v>2</v>
      </c>
      <c r="D8" s="8"/>
      <c r="E8" s="8" t="s">
        <v>46</v>
      </c>
      <c r="F8" s="8">
        <v>1</v>
      </c>
    </row>
    <row r="9" spans="1:6" x14ac:dyDescent="0.2">
      <c r="A9" s="7" t="s">
        <v>33</v>
      </c>
      <c r="B9" s="8" t="s">
        <v>47</v>
      </c>
      <c r="C9" s="8">
        <v>1</v>
      </c>
      <c r="D9" s="7" t="s">
        <v>32</v>
      </c>
      <c r="E9" s="7">
        <v>800</v>
      </c>
      <c r="F9" s="8">
        <v>3</v>
      </c>
    </row>
    <row r="10" spans="1:6" x14ac:dyDescent="0.2">
      <c r="A10" s="7" t="s">
        <v>30</v>
      </c>
      <c r="B10" s="8" t="s">
        <v>31</v>
      </c>
      <c r="C10" s="8">
        <v>1</v>
      </c>
      <c r="D10" s="8"/>
      <c r="E10" s="8">
        <v>400</v>
      </c>
      <c r="F10" s="8">
        <v>1</v>
      </c>
    </row>
    <row r="11" spans="1:6" x14ac:dyDescent="0.2">
      <c r="A11" s="8"/>
      <c r="B11" s="8" t="s">
        <v>48</v>
      </c>
      <c r="C11" s="8">
        <v>1</v>
      </c>
      <c r="D11" s="8"/>
      <c r="E11" s="8" t="s">
        <v>49</v>
      </c>
      <c r="F11" s="8">
        <v>2</v>
      </c>
    </row>
    <row r="12" spans="1:6" x14ac:dyDescent="0.2">
      <c r="A12" s="8"/>
      <c r="B12" s="8" t="s">
        <v>50</v>
      </c>
      <c r="C12" s="8">
        <v>1</v>
      </c>
      <c r="D12" s="7" t="s">
        <v>34</v>
      </c>
      <c r="E12" s="7" t="s">
        <v>35</v>
      </c>
      <c r="F12" s="8">
        <v>1</v>
      </c>
    </row>
    <row r="13" spans="1:6" x14ac:dyDescent="0.2">
      <c r="A13" s="8"/>
      <c r="B13" s="8" t="s">
        <v>51</v>
      </c>
      <c r="C13" s="8">
        <v>1</v>
      </c>
      <c r="D13" s="8"/>
      <c r="E13" s="8" t="s">
        <v>52</v>
      </c>
      <c r="F13" s="8">
        <v>1</v>
      </c>
    </row>
    <row r="14" spans="1:6" x14ac:dyDescent="0.2">
      <c r="A14" s="8"/>
      <c r="B14" s="8" t="s">
        <v>53</v>
      </c>
      <c r="C14" s="8">
        <v>1</v>
      </c>
      <c r="D14" s="8"/>
      <c r="E14" s="8" t="s">
        <v>54</v>
      </c>
      <c r="F14" s="8">
        <v>1</v>
      </c>
    </row>
    <row r="15" spans="1:6" x14ac:dyDescent="0.2">
      <c r="A15" s="8"/>
      <c r="B15" s="8" t="s">
        <v>55</v>
      </c>
      <c r="C15" s="8">
        <v>1</v>
      </c>
      <c r="D15" s="8"/>
      <c r="E15" s="8" t="s">
        <v>56</v>
      </c>
      <c r="F15" s="8">
        <v>1</v>
      </c>
    </row>
    <row r="16" spans="1:6" x14ac:dyDescent="0.2">
      <c r="A16" s="8"/>
      <c r="B16" s="8" t="s">
        <v>57</v>
      </c>
      <c r="C16" s="8"/>
      <c r="D16" s="8"/>
      <c r="E16" s="8"/>
      <c r="F16" s="8"/>
    </row>
    <row r="17" spans="1:6" x14ac:dyDescent="0.2">
      <c r="A17" s="8"/>
      <c r="B17" s="8" t="s">
        <v>58</v>
      </c>
      <c r="C17" s="8">
        <v>1</v>
      </c>
      <c r="D17" s="8"/>
      <c r="E17" s="8"/>
      <c r="F17" s="8"/>
    </row>
    <row r="18" spans="1:6" x14ac:dyDescent="0.2">
      <c r="A18" s="8" t="s">
        <v>59</v>
      </c>
      <c r="B18" s="8" t="s">
        <v>60</v>
      </c>
      <c r="C18" s="8">
        <v>5</v>
      </c>
      <c r="D18" s="8"/>
      <c r="E18" s="8"/>
      <c r="F18" s="8"/>
    </row>
    <row r="19" spans="1:6" x14ac:dyDescent="0.2">
      <c r="A19" s="8"/>
      <c r="B19" s="8" t="s">
        <v>61</v>
      </c>
      <c r="C19" s="8"/>
      <c r="D19" s="8"/>
      <c r="E19" s="8"/>
      <c r="F1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51AD-B6D8-B140-AFEF-EFCBC36BAF85}">
  <dimension ref="A1:F57"/>
  <sheetViews>
    <sheetView tabSelected="1" workbookViewId="0">
      <selection activeCell="I19" sqref="I19"/>
    </sheetView>
  </sheetViews>
  <sheetFormatPr baseColWidth="10" defaultRowHeight="16" x14ac:dyDescent="0.2"/>
  <cols>
    <col min="1" max="1" width="10.1640625" bestFit="1" customWidth="1"/>
    <col min="2" max="2" width="3.6640625" bestFit="1" customWidth="1"/>
    <col min="3" max="3" width="26.6640625" bestFit="1" customWidth="1"/>
    <col min="4" max="4" width="19" bestFit="1" customWidth="1"/>
    <col min="5" max="5" width="21" bestFit="1" customWidth="1"/>
    <col min="6" max="6" width="18.83203125" bestFit="1" customWidth="1"/>
  </cols>
  <sheetData>
    <row r="1" spans="1:6" x14ac:dyDescent="0.2">
      <c r="A1" s="9" t="s">
        <v>62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</row>
    <row r="2" spans="1:6" x14ac:dyDescent="0.2">
      <c r="A2" s="8">
        <v>2023.02</v>
      </c>
      <c r="B2" s="8">
        <v>2</v>
      </c>
      <c r="C2" s="8" t="s">
        <v>68</v>
      </c>
      <c r="D2" s="8" t="s">
        <v>69</v>
      </c>
      <c r="E2" s="8" t="s">
        <v>70</v>
      </c>
      <c r="F2" s="8"/>
    </row>
    <row r="3" spans="1:6" x14ac:dyDescent="0.2">
      <c r="A3" s="8">
        <v>2023.02</v>
      </c>
      <c r="B3" s="8">
        <v>3</v>
      </c>
      <c r="C3" s="8" t="s">
        <v>71</v>
      </c>
      <c r="D3" s="8" t="s">
        <v>69</v>
      </c>
      <c r="E3" s="8" t="s">
        <v>70</v>
      </c>
      <c r="F3" s="8"/>
    </row>
    <row r="4" spans="1:6" x14ac:dyDescent="0.2">
      <c r="A4" s="8">
        <v>2023.02</v>
      </c>
      <c r="B4" s="8">
        <v>4</v>
      </c>
      <c r="C4" s="8" t="s">
        <v>72</v>
      </c>
      <c r="D4" s="8" t="s">
        <v>73</v>
      </c>
      <c r="E4" s="8" t="s">
        <v>74</v>
      </c>
      <c r="F4" s="8"/>
    </row>
    <row r="5" spans="1:6" x14ac:dyDescent="0.2">
      <c r="A5" s="8">
        <v>2023.02</v>
      </c>
      <c r="B5" s="8">
        <v>5</v>
      </c>
      <c r="C5" s="8" t="s">
        <v>75</v>
      </c>
      <c r="D5" s="8" t="s">
        <v>76</v>
      </c>
      <c r="E5" s="8" t="s">
        <v>77</v>
      </c>
      <c r="F5" s="8"/>
    </row>
    <row r="6" spans="1:6" x14ac:dyDescent="0.2">
      <c r="A6" s="8" t="s">
        <v>78</v>
      </c>
      <c r="B6" s="8">
        <v>6</v>
      </c>
      <c r="C6" s="8" t="s">
        <v>79</v>
      </c>
      <c r="D6" s="8" t="s">
        <v>13</v>
      </c>
      <c r="E6" s="8" t="s">
        <v>70</v>
      </c>
      <c r="F6" s="8"/>
    </row>
    <row r="7" spans="1:6" x14ac:dyDescent="0.2">
      <c r="A7" s="8" t="s">
        <v>80</v>
      </c>
      <c r="B7" s="8">
        <v>7</v>
      </c>
      <c r="C7" s="8" t="s">
        <v>81</v>
      </c>
      <c r="D7" s="8" t="s">
        <v>76</v>
      </c>
      <c r="E7" s="8" t="s">
        <v>82</v>
      </c>
      <c r="F7" s="8"/>
    </row>
    <row r="8" spans="1:6" x14ac:dyDescent="0.2">
      <c r="A8" s="8" t="s">
        <v>83</v>
      </c>
      <c r="B8" s="8">
        <v>8</v>
      </c>
      <c r="C8" s="8" t="s">
        <v>84</v>
      </c>
      <c r="D8" s="8" t="s">
        <v>14</v>
      </c>
      <c r="E8" s="8"/>
      <c r="F8" s="8"/>
    </row>
    <row r="9" spans="1:6" x14ac:dyDescent="0.2">
      <c r="A9" s="8" t="s">
        <v>85</v>
      </c>
      <c r="B9" s="8">
        <v>9</v>
      </c>
      <c r="C9" s="8" t="s">
        <v>86</v>
      </c>
      <c r="D9" s="8" t="s">
        <v>87</v>
      </c>
      <c r="E9" s="8"/>
      <c r="F9" s="8"/>
    </row>
    <row r="10" spans="1:6" x14ac:dyDescent="0.2">
      <c r="A10" s="8" t="s">
        <v>88</v>
      </c>
      <c r="B10" s="8">
        <v>10</v>
      </c>
      <c r="C10" s="8" t="s">
        <v>75</v>
      </c>
      <c r="D10" s="8" t="s">
        <v>89</v>
      </c>
      <c r="E10" s="8"/>
      <c r="F10" s="8"/>
    </row>
    <row r="11" spans="1:6" x14ac:dyDescent="0.2">
      <c r="A11" s="8" t="s">
        <v>90</v>
      </c>
      <c r="B11" s="8">
        <v>11</v>
      </c>
      <c r="C11" s="8" t="s">
        <v>91</v>
      </c>
      <c r="D11" s="8" t="s">
        <v>60</v>
      </c>
      <c r="E11" s="8"/>
      <c r="F11" s="8"/>
    </row>
    <row r="12" spans="1:6" x14ac:dyDescent="0.2">
      <c r="A12" s="8" t="s">
        <v>92</v>
      </c>
      <c r="B12" s="8">
        <v>12</v>
      </c>
      <c r="C12" s="8" t="s">
        <v>93</v>
      </c>
      <c r="D12" s="8" t="s">
        <v>73</v>
      </c>
      <c r="E12" s="8"/>
      <c r="F12" s="8"/>
    </row>
    <row r="13" spans="1:6" x14ac:dyDescent="0.2">
      <c r="A13" s="8" t="s">
        <v>94</v>
      </c>
      <c r="B13" s="8">
        <v>13</v>
      </c>
      <c r="C13" s="8" t="s">
        <v>95</v>
      </c>
      <c r="D13" s="8" t="s">
        <v>76</v>
      </c>
      <c r="E13" s="8"/>
      <c r="F13" s="8"/>
    </row>
    <row r="14" spans="1:6" x14ac:dyDescent="0.2">
      <c r="A14" s="8" t="s">
        <v>96</v>
      </c>
      <c r="B14" s="8">
        <v>14</v>
      </c>
      <c r="C14" s="8" t="s">
        <v>75</v>
      </c>
      <c r="D14" s="8" t="s">
        <v>97</v>
      </c>
      <c r="E14" s="8"/>
      <c r="F14" s="8"/>
    </row>
    <row r="15" spans="1:6" x14ac:dyDescent="0.2">
      <c r="A15" s="8" t="s">
        <v>98</v>
      </c>
      <c r="B15" s="8">
        <v>15</v>
      </c>
      <c r="C15" s="8" t="s">
        <v>99</v>
      </c>
      <c r="D15" s="8" t="s">
        <v>100</v>
      </c>
      <c r="E15" s="8"/>
      <c r="F15" s="8"/>
    </row>
    <row r="16" spans="1:6" x14ac:dyDescent="0.2">
      <c r="A16" s="8" t="s">
        <v>101</v>
      </c>
      <c r="B16" s="8">
        <v>16</v>
      </c>
      <c r="C16" s="8" t="s">
        <v>91</v>
      </c>
      <c r="D16" s="8" t="s">
        <v>27</v>
      </c>
      <c r="E16" s="8"/>
      <c r="F16" s="8"/>
    </row>
    <row r="17" spans="1:6" x14ac:dyDescent="0.2">
      <c r="A17" s="8" t="s">
        <v>102</v>
      </c>
      <c r="B17" s="8">
        <v>17</v>
      </c>
      <c r="C17" s="8" t="s">
        <v>103</v>
      </c>
      <c r="D17" s="8" t="s">
        <v>60</v>
      </c>
      <c r="E17" s="8"/>
      <c r="F17" s="8"/>
    </row>
    <row r="18" spans="1:6" x14ac:dyDescent="0.2">
      <c r="A18" s="8" t="s">
        <v>104</v>
      </c>
      <c r="B18" s="8">
        <v>18</v>
      </c>
      <c r="C18" s="8" t="s">
        <v>105</v>
      </c>
      <c r="D18" s="8" t="s">
        <v>106</v>
      </c>
      <c r="E18" s="8"/>
      <c r="F18" s="8"/>
    </row>
    <row r="19" spans="1:6" x14ac:dyDescent="0.2">
      <c r="A19" s="8" t="s">
        <v>107</v>
      </c>
      <c r="B19" s="8">
        <v>19</v>
      </c>
      <c r="C19" s="8" t="s">
        <v>108</v>
      </c>
      <c r="D19" s="8" t="s">
        <v>109</v>
      </c>
      <c r="E19" s="8" t="s">
        <v>110</v>
      </c>
      <c r="F19" s="8"/>
    </row>
    <row r="20" spans="1:6" x14ac:dyDescent="0.2">
      <c r="A20" s="8" t="s">
        <v>107</v>
      </c>
      <c r="B20" s="8">
        <v>20</v>
      </c>
      <c r="C20" s="8" t="s">
        <v>108</v>
      </c>
      <c r="D20" s="8" t="s">
        <v>111</v>
      </c>
      <c r="E20" s="8" t="s">
        <v>110</v>
      </c>
      <c r="F20" s="8"/>
    </row>
    <row r="21" spans="1:6" x14ac:dyDescent="0.2">
      <c r="A21" s="8" t="s">
        <v>112</v>
      </c>
      <c r="B21" s="8">
        <v>21</v>
      </c>
      <c r="C21" s="8" t="s">
        <v>108</v>
      </c>
      <c r="D21" s="8" t="s">
        <v>113</v>
      </c>
      <c r="E21" s="8" t="s">
        <v>70</v>
      </c>
      <c r="F21" s="8"/>
    </row>
    <row r="22" spans="1:6" x14ac:dyDescent="0.2">
      <c r="A22" s="8" t="s">
        <v>114</v>
      </c>
      <c r="B22" s="8">
        <v>22</v>
      </c>
      <c r="C22" s="8" t="s">
        <v>115</v>
      </c>
      <c r="D22" s="8" t="s">
        <v>76</v>
      </c>
      <c r="E22" s="8" t="s">
        <v>116</v>
      </c>
      <c r="F22" s="8"/>
    </row>
    <row r="23" spans="1:6" x14ac:dyDescent="0.2">
      <c r="A23" s="8" t="s">
        <v>117</v>
      </c>
      <c r="B23" s="8">
        <v>23</v>
      </c>
      <c r="C23" s="8" t="s">
        <v>118</v>
      </c>
      <c r="D23" s="8" t="s">
        <v>119</v>
      </c>
      <c r="E23" s="8" t="s">
        <v>120</v>
      </c>
      <c r="F23" s="8"/>
    </row>
    <row r="24" spans="1:6" x14ac:dyDescent="0.2">
      <c r="A24" s="8" t="s">
        <v>121</v>
      </c>
      <c r="B24" s="8">
        <v>24</v>
      </c>
      <c r="C24" s="8" t="s">
        <v>122</v>
      </c>
      <c r="D24" s="8" t="s">
        <v>123</v>
      </c>
      <c r="E24" s="8" t="s">
        <v>124</v>
      </c>
      <c r="F24" s="8"/>
    </row>
    <row r="25" spans="1:6" x14ac:dyDescent="0.2">
      <c r="A25" s="8" t="s">
        <v>125</v>
      </c>
      <c r="B25" s="8">
        <v>25</v>
      </c>
      <c r="C25" s="8" t="s">
        <v>103</v>
      </c>
      <c r="D25" s="8" t="s">
        <v>76</v>
      </c>
      <c r="E25" s="8"/>
      <c r="F25" s="8"/>
    </row>
    <row r="26" spans="1:6" x14ac:dyDescent="0.2">
      <c r="A26" s="8">
        <v>2024</v>
      </c>
      <c r="B26" s="8">
        <v>26</v>
      </c>
      <c r="C26" s="8" t="s">
        <v>126</v>
      </c>
      <c r="D26" s="8" t="s">
        <v>14</v>
      </c>
      <c r="E26" s="8"/>
      <c r="F26" s="8"/>
    </row>
    <row r="27" spans="1:6" x14ac:dyDescent="0.2">
      <c r="A27" s="10">
        <v>45642</v>
      </c>
      <c r="B27" s="8">
        <v>27</v>
      </c>
      <c r="C27" s="8" t="s">
        <v>127</v>
      </c>
      <c r="D27" s="8" t="s">
        <v>69</v>
      </c>
      <c r="E27" s="8" t="s">
        <v>128</v>
      </c>
      <c r="F27" s="8"/>
    </row>
    <row r="28" spans="1:6" x14ac:dyDescent="0.2">
      <c r="A28" s="10">
        <v>45642</v>
      </c>
      <c r="B28" s="8">
        <v>28</v>
      </c>
      <c r="C28" s="8" t="s">
        <v>129</v>
      </c>
      <c r="D28" s="8" t="s">
        <v>130</v>
      </c>
      <c r="E28" s="8" t="s">
        <v>131</v>
      </c>
      <c r="F28" s="8"/>
    </row>
    <row r="29" spans="1:6" x14ac:dyDescent="0.2">
      <c r="A29" s="10">
        <v>45644</v>
      </c>
      <c r="B29" s="8">
        <v>29</v>
      </c>
      <c r="C29" s="8" t="s">
        <v>129</v>
      </c>
      <c r="D29" s="8" t="s">
        <v>132</v>
      </c>
      <c r="E29" s="8" t="s">
        <v>133</v>
      </c>
      <c r="F29" s="8"/>
    </row>
    <row r="30" spans="1:6" x14ac:dyDescent="0.2">
      <c r="A30" s="10">
        <v>45647</v>
      </c>
      <c r="B30" s="8">
        <v>30</v>
      </c>
      <c r="C30" s="8" t="s">
        <v>134</v>
      </c>
      <c r="D30" s="8" t="s">
        <v>76</v>
      </c>
      <c r="E30" s="8" t="s">
        <v>135</v>
      </c>
      <c r="F30" s="8"/>
    </row>
    <row r="31" spans="1:6" x14ac:dyDescent="0.2">
      <c r="A31" s="10">
        <v>45648</v>
      </c>
      <c r="B31" s="8">
        <v>31</v>
      </c>
      <c r="C31" s="8" t="s">
        <v>129</v>
      </c>
      <c r="D31" s="8" t="s">
        <v>136</v>
      </c>
      <c r="E31" s="8" t="s">
        <v>137</v>
      </c>
      <c r="F31" s="8"/>
    </row>
    <row r="32" spans="1:6" x14ac:dyDescent="0.2">
      <c r="A32" s="10">
        <v>45652</v>
      </c>
      <c r="B32" s="8">
        <v>32</v>
      </c>
      <c r="C32" s="8" t="s">
        <v>129</v>
      </c>
      <c r="D32" s="8" t="s">
        <v>138</v>
      </c>
      <c r="E32" s="8" t="s">
        <v>139</v>
      </c>
      <c r="F32" s="8"/>
    </row>
    <row r="33" spans="1:6" x14ac:dyDescent="0.2">
      <c r="A33" s="10">
        <v>45652</v>
      </c>
      <c r="B33" s="8">
        <v>33</v>
      </c>
      <c r="C33" s="8" t="s">
        <v>134</v>
      </c>
      <c r="D33" s="8" t="s">
        <v>140</v>
      </c>
      <c r="E33" s="8" t="s">
        <v>141</v>
      </c>
      <c r="F33" s="8"/>
    </row>
    <row r="34" spans="1:6" x14ac:dyDescent="0.2">
      <c r="A34" s="10">
        <v>45688</v>
      </c>
      <c r="B34" s="8">
        <v>34</v>
      </c>
      <c r="C34" s="8" t="s">
        <v>142</v>
      </c>
      <c r="D34" s="8" t="s">
        <v>143</v>
      </c>
      <c r="E34" s="8" t="s">
        <v>144</v>
      </c>
      <c r="F34" s="8" t="s">
        <v>145</v>
      </c>
    </row>
    <row r="35" spans="1:6" x14ac:dyDescent="0.2">
      <c r="A35" s="10">
        <v>45693</v>
      </c>
      <c r="B35" s="8">
        <v>35</v>
      </c>
      <c r="C35" s="8" t="s">
        <v>146</v>
      </c>
      <c r="D35" s="8" t="s">
        <v>132</v>
      </c>
      <c r="E35" s="8" t="s">
        <v>147</v>
      </c>
      <c r="F35" s="8">
        <v>9145</v>
      </c>
    </row>
    <row r="36" spans="1:6" x14ac:dyDescent="0.2">
      <c r="A36" s="10">
        <v>45693</v>
      </c>
      <c r="B36" s="8">
        <v>36</v>
      </c>
      <c r="C36" s="8" t="s">
        <v>148</v>
      </c>
      <c r="D36" s="8" t="s">
        <v>76</v>
      </c>
      <c r="E36" s="8" t="s">
        <v>147</v>
      </c>
      <c r="F36" s="8">
        <v>9142</v>
      </c>
    </row>
    <row r="37" spans="1:6" x14ac:dyDescent="0.2">
      <c r="A37" s="10">
        <v>45713</v>
      </c>
      <c r="B37" s="8">
        <v>37</v>
      </c>
      <c r="C37" s="8" t="s">
        <v>126</v>
      </c>
      <c r="D37" s="8" t="s">
        <v>149</v>
      </c>
      <c r="E37" s="8" t="s">
        <v>150</v>
      </c>
      <c r="F37" s="8" t="s">
        <v>151</v>
      </c>
    </row>
    <row r="38" spans="1:6" x14ac:dyDescent="0.2">
      <c r="A38" s="10">
        <v>45741</v>
      </c>
      <c r="B38" s="8">
        <v>38</v>
      </c>
      <c r="C38" s="8" t="s">
        <v>152</v>
      </c>
      <c r="D38" s="8" t="s">
        <v>132</v>
      </c>
      <c r="E38" s="8" t="s">
        <v>153</v>
      </c>
      <c r="F38" s="8">
        <v>9144</v>
      </c>
    </row>
    <row r="39" spans="1:6" x14ac:dyDescent="0.2">
      <c r="A39" s="10">
        <v>45773</v>
      </c>
      <c r="B39" s="8">
        <v>39</v>
      </c>
      <c r="C39" s="8" t="s">
        <v>154</v>
      </c>
      <c r="D39" s="8" t="s">
        <v>155</v>
      </c>
      <c r="E39" s="8" t="s">
        <v>124</v>
      </c>
      <c r="F39" s="8">
        <v>9146</v>
      </c>
    </row>
    <row r="40" spans="1:6" x14ac:dyDescent="0.2">
      <c r="A40" s="10">
        <v>45777</v>
      </c>
      <c r="B40" s="8">
        <v>40</v>
      </c>
      <c r="C40" s="8" t="s">
        <v>126</v>
      </c>
      <c r="D40" s="8" t="s">
        <v>69</v>
      </c>
      <c r="E40" s="8" t="s">
        <v>156</v>
      </c>
      <c r="F40" s="8">
        <v>9143</v>
      </c>
    </row>
    <row r="41" spans="1:6" x14ac:dyDescent="0.2">
      <c r="A41" s="8" t="s">
        <v>157</v>
      </c>
      <c r="B41" s="8">
        <v>41</v>
      </c>
      <c r="C41" s="8" t="s">
        <v>158</v>
      </c>
      <c r="D41" s="8" t="s">
        <v>159</v>
      </c>
      <c r="E41" s="8"/>
      <c r="F41" s="8"/>
    </row>
    <row r="42" spans="1:6" x14ac:dyDescent="0.2">
      <c r="A42" s="10">
        <v>45802</v>
      </c>
      <c r="B42" s="8">
        <v>42</v>
      </c>
      <c r="C42" s="8" t="s">
        <v>160</v>
      </c>
      <c r="D42" s="8" t="s">
        <v>161</v>
      </c>
      <c r="E42" s="8" t="s">
        <v>162</v>
      </c>
      <c r="F42" s="8"/>
    </row>
    <row r="43" spans="1:6" x14ac:dyDescent="0.2">
      <c r="A43" s="10">
        <v>45808</v>
      </c>
      <c r="B43" s="8">
        <v>43</v>
      </c>
      <c r="C43" s="8" t="s">
        <v>163</v>
      </c>
      <c r="D43" s="8" t="s">
        <v>164</v>
      </c>
      <c r="E43" s="8" t="s">
        <v>162</v>
      </c>
      <c r="F43" s="8"/>
    </row>
    <row r="44" spans="1:6" x14ac:dyDescent="0.2">
      <c r="A44" s="10">
        <v>45809</v>
      </c>
      <c r="B44" s="8">
        <v>44</v>
      </c>
      <c r="C44" s="8" t="s">
        <v>160</v>
      </c>
      <c r="D44" s="8" t="s">
        <v>165</v>
      </c>
      <c r="E44" s="8" t="s">
        <v>166</v>
      </c>
      <c r="F44" s="8"/>
    </row>
    <row r="45" spans="1:6" x14ac:dyDescent="0.2">
      <c r="A45" s="10">
        <v>45810</v>
      </c>
      <c r="B45" s="8">
        <v>45</v>
      </c>
      <c r="C45" s="8" t="s">
        <v>167</v>
      </c>
      <c r="D45" s="8" t="s">
        <v>165</v>
      </c>
      <c r="E45" s="8" t="s">
        <v>166</v>
      </c>
      <c r="F45" s="8"/>
    </row>
    <row r="46" spans="1:6" x14ac:dyDescent="0.2">
      <c r="A46" s="10">
        <v>45814</v>
      </c>
      <c r="B46" s="8">
        <v>46</v>
      </c>
      <c r="C46" s="8" t="s">
        <v>129</v>
      </c>
      <c r="D46" s="8" t="s">
        <v>168</v>
      </c>
      <c r="E46" s="8" t="s">
        <v>162</v>
      </c>
      <c r="F46" s="8"/>
    </row>
    <row r="47" spans="1:6" x14ac:dyDescent="0.2">
      <c r="A47" s="10">
        <v>45826</v>
      </c>
      <c r="B47" s="8">
        <v>47</v>
      </c>
      <c r="C47" s="8" t="s">
        <v>163</v>
      </c>
      <c r="D47" s="8" t="s">
        <v>169</v>
      </c>
      <c r="E47" s="8" t="s">
        <v>170</v>
      </c>
      <c r="F47" s="8"/>
    </row>
    <row r="48" spans="1:6" x14ac:dyDescent="0.2">
      <c r="A48" s="10">
        <v>45826</v>
      </c>
      <c r="B48" s="8">
        <v>48</v>
      </c>
      <c r="C48" s="8" t="s">
        <v>171</v>
      </c>
      <c r="D48" s="8" t="s">
        <v>87</v>
      </c>
      <c r="E48" s="8" t="s">
        <v>172</v>
      </c>
      <c r="F48" s="8"/>
    </row>
    <row r="49" spans="1:6" x14ac:dyDescent="0.2">
      <c r="A49" s="10">
        <v>45827</v>
      </c>
      <c r="B49" s="8">
        <v>49</v>
      </c>
      <c r="C49" s="8" t="s">
        <v>173</v>
      </c>
      <c r="D49" s="8" t="s">
        <v>174</v>
      </c>
      <c r="E49" s="8" t="s">
        <v>175</v>
      </c>
      <c r="F49" s="8" t="s">
        <v>176</v>
      </c>
    </row>
    <row r="50" spans="1:6" x14ac:dyDescent="0.2">
      <c r="A50" s="10">
        <v>45827</v>
      </c>
      <c r="B50" s="8">
        <v>50</v>
      </c>
      <c r="C50" s="8" t="s">
        <v>171</v>
      </c>
      <c r="D50" s="8" t="s">
        <v>177</v>
      </c>
      <c r="E50" s="8" t="s">
        <v>178</v>
      </c>
      <c r="F50" s="8"/>
    </row>
    <row r="51" spans="1:6" x14ac:dyDescent="0.2">
      <c r="A51" s="10">
        <v>45829</v>
      </c>
      <c r="B51" s="8">
        <v>51</v>
      </c>
      <c r="C51" s="8" t="s">
        <v>163</v>
      </c>
      <c r="D51" s="8" t="s">
        <v>179</v>
      </c>
      <c r="E51" s="8" t="s">
        <v>180</v>
      </c>
      <c r="F51" s="8"/>
    </row>
    <row r="52" spans="1:6" x14ac:dyDescent="0.2">
      <c r="A52" s="10">
        <v>45861</v>
      </c>
      <c r="B52" s="8">
        <v>52</v>
      </c>
      <c r="C52" s="8" t="s">
        <v>129</v>
      </c>
      <c r="D52" s="8" t="s">
        <v>181</v>
      </c>
      <c r="E52" s="8" t="s">
        <v>182</v>
      </c>
      <c r="F52" s="8"/>
    </row>
    <row r="53" spans="1:6" x14ac:dyDescent="0.2">
      <c r="A53" s="10">
        <v>46146</v>
      </c>
      <c r="B53" s="8">
        <v>53</v>
      </c>
      <c r="C53" s="8" t="s">
        <v>126</v>
      </c>
      <c r="D53" s="8" t="s">
        <v>183</v>
      </c>
      <c r="E53" s="8" t="s">
        <v>184</v>
      </c>
      <c r="F53" s="8"/>
    </row>
    <row r="54" spans="1:6" x14ac:dyDescent="0.2">
      <c r="A54" s="10">
        <v>46102</v>
      </c>
      <c r="B54" s="8">
        <v>54</v>
      </c>
      <c r="C54" s="8" t="s">
        <v>185</v>
      </c>
      <c r="D54" s="8" t="s">
        <v>186</v>
      </c>
      <c r="E54" s="8" t="s">
        <v>187</v>
      </c>
      <c r="F54" s="8"/>
    </row>
    <row r="55" spans="1:6" x14ac:dyDescent="0.2">
      <c r="A55" s="10">
        <v>46037</v>
      </c>
      <c r="B55" s="8">
        <v>55</v>
      </c>
      <c r="C55" s="8" t="s">
        <v>188</v>
      </c>
      <c r="D55" s="8" t="s">
        <v>189</v>
      </c>
      <c r="E55" s="8" t="s">
        <v>190</v>
      </c>
      <c r="F55" s="8"/>
    </row>
    <row r="56" spans="1:6" x14ac:dyDescent="0.2">
      <c r="A56" s="10">
        <v>46031</v>
      </c>
      <c r="B56" s="8">
        <v>56</v>
      </c>
      <c r="C56" s="8" t="s">
        <v>191</v>
      </c>
      <c r="D56" s="8" t="s">
        <v>192</v>
      </c>
      <c r="E56" s="8" t="s">
        <v>193</v>
      </c>
      <c r="F56" s="8"/>
    </row>
    <row r="57" spans="1:6" x14ac:dyDescent="0.2">
      <c r="A57" s="10">
        <v>46030</v>
      </c>
      <c r="B57" s="8">
        <v>57</v>
      </c>
      <c r="C57" s="8" t="s">
        <v>126</v>
      </c>
      <c r="D57" s="8" t="s">
        <v>194</v>
      </c>
      <c r="E57" s="8" t="s">
        <v>195</v>
      </c>
      <c r="F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机器</vt:lpstr>
      <vt:lpstr>Finished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 Li</dc:creator>
  <cp:lastModifiedBy>Zeyu Li</cp:lastModifiedBy>
  <dcterms:created xsi:type="dcterms:W3CDTF">2025-06-14T02:45:08Z</dcterms:created>
  <dcterms:modified xsi:type="dcterms:W3CDTF">2026-06-15T00:55:03Z</dcterms:modified>
</cp:coreProperties>
</file>